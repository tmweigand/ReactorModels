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python_models/ReactorModels/src/reactormodels/IO/data/"/>
    </mc:Choice>
  </mc:AlternateContent>
  <xr:revisionPtr revIDLastSave="0" documentId="13_ncr:1_{681CBA1D-D258-3549-831A-B34AA4E845D2}" xr6:coauthVersionLast="47" xr6:coauthVersionMax="47" xr10:uidLastSave="{00000000-0000-0000-0000-000000000000}"/>
  <bookViews>
    <workbookView xWindow="940" yWindow="500" windowWidth="27860" windowHeight="17500" xr2:uid="{8FC1EBE6-09F5-E544-BEAB-0C438D750464}"/>
  </bookViews>
  <sheets>
    <sheet name="parameters" sheetId="1" r:id="rId1"/>
    <sheet name="chem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2" l="1"/>
  <c r="X4" i="2"/>
  <c r="W4" i="2"/>
  <c r="V4" i="2"/>
  <c r="U4" i="2"/>
  <c r="S4" i="2"/>
  <c r="R4" i="2"/>
  <c r="O4" i="2"/>
  <c r="N4" i="2"/>
  <c r="M4" i="2"/>
  <c r="L4" i="2"/>
  <c r="J4" i="2"/>
  <c r="G4" i="2"/>
  <c r="D4" i="2"/>
  <c r="C4" i="2"/>
  <c r="B4" i="2"/>
</calcChain>
</file>

<file path=xl/sharedStrings.xml><?xml version="1.0" encoding="utf-8"?>
<sst xmlns="http://schemas.openxmlformats.org/spreadsheetml/2006/main" count="75" uniqueCount="64">
  <si>
    <t>water</t>
  </si>
  <si>
    <t>RSSCT #1</t>
  </si>
  <si>
    <t>Parameter</t>
  </si>
  <si>
    <t>values</t>
  </si>
  <si>
    <t>unit</t>
  </si>
  <si>
    <t>name</t>
  </si>
  <si>
    <t>NaCl+NOM5</t>
  </si>
  <si>
    <t>-</t>
  </si>
  <si>
    <t>density</t>
  </si>
  <si>
    <t>viscosity</t>
  </si>
  <si>
    <t>temperature</t>
  </si>
  <si>
    <t>media</t>
  </si>
  <si>
    <t>parameter</t>
  </si>
  <si>
    <t>value</t>
  </si>
  <si>
    <t>bed_density</t>
  </si>
  <si>
    <t>sphericity</t>
  </si>
  <si>
    <t>particle_porosity</t>
  </si>
  <si>
    <t>particle_density</t>
  </si>
  <si>
    <t>particle_radius</t>
  </si>
  <si>
    <t>column</t>
  </si>
  <si>
    <t>length</t>
  </si>
  <si>
    <t>diameter</t>
  </si>
  <si>
    <t>porosity</t>
  </si>
  <si>
    <t>bulk_density</t>
  </si>
  <si>
    <t>sorbent_mass</t>
  </si>
  <si>
    <t>Name</t>
  </si>
  <si>
    <t>GenX</t>
  </si>
  <si>
    <t>NBP2</t>
  </si>
  <si>
    <t>PFBA</t>
  </si>
  <si>
    <t>PFBS</t>
  </si>
  <si>
    <t>PFDA</t>
  </si>
  <si>
    <t>PFHpA</t>
  </si>
  <si>
    <t>PFHxA</t>
  </si>
  <si>
    <t>PFHxS</t>
  </si>
  <si>
    <t>PFMOAA</t>
  </si>
  <si>
    <t>PFNA</t>
  </si>
  <si>
    <t>PFNS</t>
  </si>
  <si>
    <t>PFO2HxA</t>
  </si>
  <si>
    <t>PFO3OA</t>
  </si>
  <si>
    <t>PFO4DA</t>
  </si>
  <si>
    <t>PFOA</t>
  </si>
  <si>
    <t>PFOS</t>
  </si>
  <si>
    <t>PFPeA</t>
  </si>
  <si>
    <t>PFMOPrA</t>
  </si>
  <si>
    <t>4:2FTS</t>
  </si>
  <si>
    <t>6:2FTS</t>
  </si>
  <si>
    <t>8:2FTS</t>
  </si>
  <si>
    <t>PFHpS</t>
  </si>
  <si>
    <t>PFPrS</t>
  </si>
  <si>
    <t>PFPeS</t>
  </si>
  <si>
    <t>PMPA</t>
  </si>
  <si>
    <t>NBP1</t>
  </si>
  <si>
    <t>diffusion</t>
  </si>
  <si>
    <t>molecular_weight</t>
  </si>
  <si>
    <t>molar_volume</t>
  </si>
  <si>
    <t>solubility</t>
  </si>
  <si>
    <t>vapor_pressure</t>
  </si>
  <si>
    <t>boiling_point</t>
  </si>
  <si>
    <t>experiment_id:</t>
  </si>
  <si>
    <t>[M/L^3]</t>
  </si>
  <si>
    <t>[M/(L-t)]</t>
  </si>
  <si>
    <t>[L]</t>
  </si>
  <si>
    <t>[T]</t>
  </si>
  <si>
    <t>particle_diameter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</si>
</sst>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  <font>
      <sz val="1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4" xfId="0" applyFont="1" applyFill="1" applyBorder="1"/>
    <xf numFmtId="0" fontId="2" fillId="0" borderId="4" xfId="0" applyFont="1" applyBorder="1"/>
    <xf numFmtId="0" fontId="0" fillId="0" borderId="4" xfId="0" applyBorder="1"/>
    <xf numFmtId="0" fontId="0" fillId="3" borderId="4" xfId="0" applyFill="1" applyBorder="1"/>
    <xf numFmtId="0" fontId="3" fillId="3" borderId="4" xfId="0" applyFont="1" applyFill="1" applyBorder="1"/>
    <xf numFmtId="0" fontId="3" fillId="0" borderId="4" xfId="0" applyFont="1" applyBorder="1"/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11" fontId="4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1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4" xfId="0" applyFont="1" applyFill="1" applyBorder="1"/>
    <xf numFmtId="0" fontId="4" fillId="2" borderId="4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11" fontId="4" fillId="2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top"/>
    </xf>
    <xf numFmtId="0" fontId="4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A5E6-1152-6E4D-AE94-8617611FAF4C}">
  <dimension ref="A1:C22"/>
  <sheetViews>
    <sheetView tabSelected="1" zoomScale="125" workbookViewId="0">
      <selection activeCell="A15" sqref="A15:C15"/>
    </sheetView>
  </sheetViews>
  <sheetFormatPr baseColWidth="10" defaultRowHeight="16" x14ac:dyDescent="0.2"/>
  <cols>
    <col min="1" max="1" width="17" bestFit="1" customWidth="1"/>
    <col min="2" max="2" width="11.5" bestFit="1" customWidth="1"/>
  </cols>
  <sheetData>
    <row r="1" spans="1:3" x14ac:dyDescent="0.2">
      <c r="A1" s="1" t="s">
        <v>58</v>
      </c>
      <c r="B1" s="2" t="s">
        <v>1</v>
      </c>
      <c r="C1" s="3"/>
    </row>
    <row r="2" spans="1:3" x14ac:dyDescent="0.2">
      <c r="A2" s="24" t="s">
        <v>0</v>
      </c>
      <c r="B2" s="25"/>
      <c r="C2" s="26"/>
    </row>
    <row r="3" spans="1:3" x14ac:dyDescent="0.2">
      <c r="A3" s="4" t="s">
        <v>2</v>
      </c>
      <c r="B3" s="4" t="s">
        <v>3</v>
      </c>
      <c r="C3" s="4" t="s">
        <v>4</v>
      </c>
    </row>
    <row r="4" spans="1:3" x14ac:dyDescent="0.2">
      <c r="A4" s="4" t="s">
        <v>5</v>
      </c>
      <c r="B4" s="3" t="s">
        <v>6</v>
      </c>
      <c r="C4" s="3" t="s">
        <v>7</v>
      </c>
    </row>
    <row r="5" spans="1:3" x14ac:dyDescent="0.2">
      <c r="A5" s="4" t="s">
        <v>8</v>
      </c>
      <c r="B5" s="3">
        <v>997</v>
      </c>
      <c r="C5" s="3" t="s">
        <v>59</v>
      </c>
    </row>
    <row r="6" spans="1:3" x14ac:dyDescent="0.2">
      <c r="A6" s="4" t="s">
        <v>9</v>
      </c>
      <c r="B6" s="3">
        <v>8.8999999999999995E-4</v>
      </c>
      <c r="C6" s="3" t="s">
        <v>60</v>
      </c>
    </row>
    <row r="7" spans="1:3" x14ac:dyDescent="0.2">
      <c r="A7" s="4" t="s">
        <v>10</v>
      </c>
      <c r="B7" s="3">
        <v>25</v>
      </c>
      <c r="C7" s="3" t="s">
        <v>62</v>
      </c>
    </row>
    <row r="8" spans="1:3" x14ac:dyDescent="0.2">
      <c r="A8" s="24" t="s">
        <v>11</v>
      </c>
      <c r="B8" s="25"/>
      <c r="C8" s="26"/>
    </row>
    <row r="9" spans="1:3" x14ac:dyDescent="0.2">
      <c r="A9" s="4" t="s">
        <v>12</v>
      </c>
      <c r="B9" s="4" t="s">
        <v>13</v>
      </c>
      <c r="C9" s="4" t="s">
        <v>4</v>
      </c>
    </row>
    <row r="10" spans="1:3" x14ac:dyDescent="0.2">
      <c r="A10" s="4" t="s">
        <v>14</v>
      </c>
      <c r="B10" s="3">
        <v>335</v>
      </c>
      <c r="C10" s="3" t="s">
        <v>59</v>
      </c>
    </row>
    <row r="11" spans="1:3" x14ac:dyDescent="0.2">
      <c r="A11" s="4" t="s">
        <v>15</v>
      </c>
      <c r="B11" s="3">
        <v>1</v>
      </c>
      <c r="C11" s="3"/>
    </row>
    <row r="12" spans="1:3" x14ac:dyDescent="0.2">
      <c r="A12" s="4" t="s">
        <v>16</v>
      </c>
      <c r="B12" s="3">
        <v>0.31900000000000001</v>
      </c>
      <c r="C12" s="3" t="s">
        <v>7</v>
      </c>
    </row>
    <row r="13" spans="1:3" x14ac:dyDescent="0.2">
      <c r="A13" s="4" t="s">
        <v>17</v>
      </c>
      <c r="B13" s="3">
        <v>600</v>
      </c>
      <c r="C13" s="3" t="s">
        <v>59</v>
      </c>
    </row>
    <row r="14" spans="1:3" x14ac:dyDescent="0.2">
      <c r="A14" s="4" t="s">
        <v>18</v>
      </c>
      <c r="B14" s="3">
        <v>3.375E-5</v>
      </c>
      <c r="C14" s="3" t="s">
        <v>61</v>
      </c>
    </row>
    <row r="15" spans="1:3" x14ac:dyDescent="0.2">
      <c r="A15" s="4" t="s">
        <v>63</v>
      </c>
      <c r="B15" s="3">
        <v>6.7500000000000001E-5</v>
      </c>
      <c r="C15" s="3" t="s">
        <v>61</v>
      </c>
    </row>
    <row r="16" spans="1:3" x14ac:dyDescent="0.2">
      <c r="A16" s="24" t="s">
        <v>19</v>
      </c>
      <c r="B16" s="25"/>
      <c r="C16" s="26"/>
    </row>
    <row r="17" spans="1:3" x14ac:dyDescent="0.2">
      <c r="A17" s="18" t="s">
        <v>12</v>
      </c>
      <c r="B17" s="5" t="s">
        <v>13</v>
      </c>
      <c r="C17" s="5" t="s">
        <v>4</v>
      </c>
    </row>
    <row r="18" spans="1:3" x14ac:dyDescent="0.2">
      <c r="A18" s="18" t="s">
        <v>20</v>
      </c>
      <c r="B18" s="6">
        <v>1.4989000000000001E-2</v>
      </c>
      <c r="C18" s="6" t="s">
        <v>61</v>
      </c>
    </row>
    <row r="19" spans="1:3" x14ac:dyDescent="0.2">
      <c r="A19" s="18" t="s">
        <v>21</v>
      </c>
      <c r="B19" s="6">
        <v>3.1800000000000001E-3</v>
      </c>
      <c r="C19" s="6" t="s">
        <v>61</v>
      </c>
    </row>
    <row r="20" spans="1:3" x14ac:dyDescent="0.2">
      <c r="A20" s="5" t="s">
        <v>22</v>
      </c>
      <c r="B20" s="6">
        <v>0.40799999999999997</v>
      </c>
      <c r="C20" s="6"/>
    </row>
    <row r="21" spans="1:3" x14ac:dyDescent="0.2">
      <c r="A21" s="5" t="s">
        <v>23</v>
      </c>
      <c r="B21" s="6"/>
      <c r="C21" s="6"/>
    </row>
    <row r="22" spans="1:3" x14ac:dyDescent="0.2">
      <c r="A22" s="5" t="s">
        <v>24</v>
      </c>
      <c r="B22" s="6"/>
      <c r="C22" s="6"/>
    </row>
  </sheetData>
  <mergeCells count="3">
    <mergeCell ref="A2:C2"/>
    <mergeCell ref="A8:C8"/>
    <mergeCell ref="A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BEB5-AE28-654F-8982-227411EFFF89}">
  <dimension ref="A1:AA26"/>
  <sheetViews>
    <sheetView workbookViewId="0">
      <selection activeCell="E14" sqref="E14"/>
    </sheetView>
  </sheetViews>
  <sheetFormatPr baseColWidth="10" defaultRowHeight="16" x14ac:dyDescent="0.2"/>
  <cols>
    <col min="1" max="1" width="14.1640625" bestFit="1" customWidth="1"/>
    <col min="2" max="2" width="8.1640625" bestFit="1" customWidth="1"/>
    <col min="3" max="3" width="7.1640625" bestFit="1" customWidth="1"/>
    <col min="4" max="4" width="8.1640625" bestFit="1" customWidth="1"/>
    <col min="5" max="5" width="8.6640625" bestFit="1" customWidth="1"/>
    <col min="6" max="6" width="8.1640625" bestFit="1" customWidth="1"/>
    <col min="7" max="8" width="8.6640625" bestFit="1" customWidth="1"/>
    <col min="9" max="9" width="8.1640625" bestFit="1" customWidth="1"/>
    <col min="10" max="10" width="7.6640625" bestFit="1" customWidth="1"/>
    <col min="11" max="11" width="7.1640625" bestFit="1" customWidth="1"/>
    <col min="12" max="15" width="8.1640625" bestFit="1" customWidth="1"/>
    <col min="16" max="16" width="7.1640625" bestFit="1" customWidth="1"/>
    <col min="17" max="19" width="8.1640625" bestFit="1" customWidth="1"/>
    <col min="20" max="23" width="7.1640625" bestFit="1" customWidth="1"/>
    <col min="24" max="25" width="6.6640625" bestFit="1" customWidth="1"/>
    <col min="26" max="26" width="8.1640625" bestFit="1" customWidth="1"/>
    <col min="27" max="27" width="7.33203125" bestFit="1" customWidth="1"/>
  </cols>
  <sheetData>
    <row r="1" spans="1:27" x14ac:dyDescent="0.2">
      <c r="A1" s="19" t="s">
        <v>25</v>
      </c>
      <c r="B1" s="22" t="s">
        <v>26</v>
      </c>
      <c r="C1" s="22" t="s">
        <v>27</v>
      </c>
      <c r="D1" s="22" t="s">
        <v>28</v>
      </c>
      <c r="E1" s="22" t="s">
        <v>29</v>
      </c>
      <c r="F1" s="22" t="s">
        <v>30</v>
      </c>
      <c r="G1" s="22" t="s">
        <v>31</v>
      </c>
      <c r="H1" s="22" t="s">
        <v>32</v>
      </c>
      <c r="I1" s="22" t="s">
        <v>33</v>
      </c>
      <c r="J1" s="22" t="s">
        <v>34</v>
      </c>
      <c r="K1" s="22" t="s">
        <v>35</v>
      </c>
      <c r="L1" s="22" t="s">
        <v>36</v>
      </c>
      <c r="M1" s="22" t="s">
        <v>37</v>
      </c>
      <c r="N1" s="22" t="s">
        <v>38</v>
      </c>
      <c r="O1" s="22" t="s">
        <v>39</v>
      </c>
      <c r="P1" s="22" t="s">
        <v>40</v>
      </c>
      <c r="Q1" s="22" t="s">
        <v>41</v>
      </c>
      <c r="R1" s="22" t="s">
        <v>42</v>
      </c>
      <c r="S1" s="22" t="s">
        <v>43</v>
      </c>
      <c r="T1" s="22" t="s">
        <v>44</v>
      </c>
      <c r="U1" s="22" t="s">
        <v>45</v>
      </c>
      <c r="V1" s="22" t="s">
        <v>46</v>
      </c>
      <c r="W1" s="22" t="s">
        <v>47</v>
      </c>
      <c r="X1" s="22" t="s">
        <v>48</v>
      </c>
      <c r="Y1" s="22" t="s">
        <v>49</v>
      </c>
      <c r="Z1" s="23" t="s">
        <v>50</v>
      </c>
      <c r="AA1" s="4" t="s">
        <v>51</v>
      </c>
    </row>
    <row r="2" spans="1:27" x14ac:dyDescent="0.2">
      <c r="A2" s="19" t="s">
        <v>52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19" t="s">
        <v>53</v>
      </c>
      <c r="B3" s="7">
        <v>330.05</v>
      </c>
      <c r="C3" s="7">
        <v>464.13</v>
      </c>
      <c r="D3" s="7">
        <v>214.03899999999999</v>
      </c>
      <c r="E3" s="7">
        <v>300.10000000000002</v>
      </c>
      <c r="F3" s="7">
        <v>514.08600000000001</v>
      </c>
      <c r="G3" s="7">
        <v>364.06200000000001</v>
      </c>
      <c r="H3" s="7">
        <v>314.05399999999997</v>
      </c>
      <c r="I3" s="7">
        <v>400.11</v>
      </c>
      <c r="J3" s="7">
        <v>180.03</v>
      </c>
      <c r="K3" s="7">
        <v>464.08</v>
      </c>
      <c r="L3" s="7">
        <v>550.13</v>
      </c>
      <c r="M3" s="7">
        <v>246.03700000000001</v>
      </c>
      <c r="N3" s="7">
        <v>312.04399999999998</v>
      </c>
      <c r="O3" s="7">
        <v>378.05099999999999</v>
      </c>
      <c r="P3" s="7">
        <v>414.07</v>
      </c>
      <c r="Q3" s="7">
        <v>500.13</v>
      </c>
      <c r="R3" s="7">
        <v>264.04700000000003</v>
      </c>
      <c r="S3" s="7">
        <v>230.03800000000001</v>
      </c>
      <c r="T3" s="8">
        <v>327.14</v>
      </c>
      <c r="U3" s="7">
        <v>428.16</v>
      </c>
      <c r="V3" s="7">
        <v>528.16999999999996</v>
      </c>
      <c r="W3" s="7">
        <v>450.12</v>
      </c>
      <c r="X3" s="9">
        <v>250.09</v>
      </c>
      <c r="Y3" s="7">
        <v>350.1</v>
      </c>
      <c r="Z3" s="8">
        <v>230.03800000000001</v>
      </c>
      <c r="AA3" s="3">
        <v>444.12</v>
      </c>
    </row>
    <row r="4" spans="1:27" x14ac:dyDescent="0.2">
      <c r="A4" s="20" t="s">
        <v>54</v>
      </c>
      <c r="B4" s="10">
        <f>B3/B5</f>
        <v>188.6</v>
      </c>
      <c r="C4" s="10">
        <f>C3/C5</f>
        <v>252.24456521739128</v>
      </c>
      <c r="D4" s="10">
        <f>D3/D5</f>
        <v>129.72060606060606</v>
      </c>
      <c r="E4" s="10">
        <v>162</v>
      </c>
      <c r="F4" s="10">
        <v>292</v>
      </c>
      <c r="G4" s="10">
        <f>G3/G5</f>
        <v>212.90175438596492</v>
      </c>
      <c r="H4" s="10">
        <v>182</v>
      </c>
      <c r="I4" s="10">
        <v>217</v>
      </c>
      <c r="J4" s="10">
        <f>J3/J5</f>
        <v>111.12962962962962</v>
      </c>
      <c r="K4" s="10">
        <v>265</v>
      </c>
      <c r="L4" s="10">
        <f>L3/L5</f>
        <v>295.76881720430106</v>
      </c>
      <c r="M4" s="10">
        <f>M3/M5</f>
        <v>140.59257142857143</v>
      </c>
      <c r="N4" s="10">
        <f>N3/N5</f>
        <v>174.3262569832402</v>
      </c>
      <c r="O4" s="10">
        <f>O3/O5</f>
        <v>212.388202247191</v>
      </c>
      <c r="P4" s="10">
        <v>237</v>
      </c>
      <c r="Q4" s="10">
        <v>272</v>
      </c>
      <c r="R4" s="10">
        <f>R3/R5</f>
        <v>158.11197604790422</v>
      </c>
      <c r="S4" s="10">
        <f>S3/S5</f>
        <v>139.41696969696972</v>
      </c>
      <c r="T4" s="8">
        <v>195</v>
      </c>
      <c r="U4" s="10">
        <f>U3/U5</f>
        <v>254.85714285714289</v>
      </c>
      <c r="V4" s="10">
        <f>V3/V5</f>
        <v>308.87134502923976</v>
      </c>
      <c r="W4" s="10">
        <f>W3/W5</f>
        <v>242</v>
      </c>
      <c r="X4" s="10">
        <f>X3/X5</f>
        <v>137.41208791208791</v>
      </c>
      <c r="Y4" s="10">
        <f>Y3/Y5</f>
        <v>191.31147540983608</v>
      </c>
      <c r="Z4" s="8">
        <v>134</v>
      </c>
      <c r="AA4" s="3"/>
    </row>
    <row r="5" spans="1:27" x14ac:dyDescent="0.2">
      <c r="A5" s="19" t="s">
        <v>8</v>
      </c>
      <c r="B5" s="7">
        <v>1.75</v>
      </c>
      <c r="C5" s="7">
        <v>1.84</v>
      </c>
      <c r="D5" s="7">
        <v>1.65</v>
      </c>
      <c r="E5" s="7">
        <v>1.83</v>
      </c>
      <c r="F5" s="7">
        <v>1.79</v>
      </c>
      <c r="G5" s="7">
        <v>1.71</v>
      </c>
      <c r="H5" s="7">
        <v>1.69</v>
      </c>
      <c r="I5" s="7">
        <v>1.84</v>
      </c>
      <c r="J5" s="7">
        <v>1.62</v>
      </c>
      <c r="K5" s="7">
        <v>1.78</v>
      </c>
      <c r="L5" s="7">
        <v>1.86</v>
      </c>
      <c r="M5" s="7">
        <v>1.75</v>
      </c>
      <c r="N5" s="7">
        <v>1.79</v>
      </c>
      <c r="O5" s="7">
        <v>1.78</v>
      </c>
      <c r="P5" s="7">
        <v>1.8</v>
      </c>
      <c r="Q5" s="7">
        <v>1.84</v>
      </c>
      <c r="R5" s="7">
        <v>1.67</v>
      </c>
      <c r="S5" s="7">
        <v>1.65</v>
      </c>
      <c r="T5" s="7">
        <v>1.65</v>
      </c>
      <c r="U5" s="7">
        <v>1.68</v>
      </c>
      <c r="V5" s="7">
        <v>1.71</v>
      </c>
      <c r="W5" s="7">
        <v>1.86</v>
      </c>
      <c r="X5" s="7">
        <v>1.82</v>
      </c>
      <c r="Y5" s="7">
        <v>1.83</v>
      </c>
      <c r="Z5" s="7">
        <v>1.5</v>
      </c>
      <c r="AA5" s="3"/>
    </row>
    <row r="6" spans="1:27" x14ac:dyDescent="0.2">
      <c r="A6" s="21" t="s">
        <v>55</v>
      </c>
      <c r="B6" s="11">
        <v>5.5199999999999999E-2</v>
      </c>
      <c r="C6" s="11"/>
      <c r="D6" s="11"/>
      <c r="E6" s="11">
        <v>2292.7640000000001</v>
      </c>
      <c r="F6" s="11"/>
      <c r="G6" s="11">
        <v>162.37165200000001</v>
      </c>
      <c r="H6" s="11">
        <v>200.05239799999995</v>
      </c>
      <c r="I6" s="11">
        <v>0</v>
      </c>
      <c r="J6" s="11"/>
      <c r="K6" s="11"/>
      <c r="L6" s="11"/>
      <c r="M6" s="11"/>
      <c r="N6" s="11"/>
      <c r="O6" s="11"/>
      <c r="P6" s="11"/>
      <c r="Q6" s="11">
        <v>0</v>
      </c>
      <c r="R6" s="11"/>
      <c r="S6" s="11"/>
      <c r="T6" s="11"/>
      <c r="U6" s="11"/>
      <c r="V6" s="11"/>
      <c r="W6" s="11"/>
      <c r="X6" s="11"/>
      <c r="Y6" s="11"/>
      <c r="Z6" s="11"/>
      <c r="AA6" s="3"/>
    </row>
    <row r="7" spans="1:27" x14ac:dyDescent="0.2">
      <c r="A7" s="19" t="s">
        <v>56</v>
      </c>
      <c r="B7" s="7"/>
      <c r="C7" s="7"/>
      <c r="D7" s="7">
        <v>6.37</v>
      </c>
      <c r="E7" s="11">
        <v>0.23799999999999999</v>
      </c>
      <c r="F7" s="11">
        <v>3.1099999999999999E-2</v>
      </c>
      <c r="G7" s="7">
        <v>0.13300000000000001</v>
      </c>
      <c r="H7" s="7">
        <v>1.45</v>
      </c>
      <c r="I7" s="11">
        <v>9.9500000000000005E-3</v>
      </c>
      <c r="J7" s="7">
        <v>8.4600000000000009</v>
      </c>
      <c r="K7" s="7">
        <v>0.17100000000000001</v>
      </c>
      <c r="L7" s="11">
        <v>5.6499999999999996E-3</v>
      </c>
      <c r="M7" s="7"/>
      <c r="N7" s="7"/>
      <c r="O7" s="7"/>
      <c r="P7" s="7">
        <v>0.52500000000000002</v>
      </c>
      <c r="Q7" s="11">
        <v>7.7999999999999996E-3</v>
      </c>
      <c r="R7" s="7">
        <v>3.54</v>
      </c>
      <c r="S7" s="7"/>
      <c r="T7" s="7"/>
      <c r="U7" s="7"/>
      <c r="V7" s="7"/>
      <c r="W7" s="7"/>
      <c r="X7" s="7"/>
      <c r="Y7" s="7"/>
      <c r="Z7" s="7"/>
      <c r="AA7" s="3"/>
    </row>
    <row r="8" spans="1:27" x14ac:dyDescent="0.2">
      <c r="A8" s="19" t="s">
        <v>57</v>
      </c>
      <c r="B8" s="7">
        <v>173</v>
      </c>
      <c r="C8" s="7"/>
      <c r="D8" s="7">
        <v>121</v>
      </c>
      <c r="E8" s="7">
        <v>211</v>
      </c>
      <c r="F8" s="7">
        <v>184</v>
      </c>
      <c r="G8" s="7">
        <v>175</v>
      </c>
      <c r="H8" s="7">
        <v>157</v>
      </c>
      <c r="I8" s="7">
        <v>239</v>
      </c>
      <c r="J8" s="7">
        <v>110</v>
      </c>
      <c r="K8" s="7">
        <v>218</v>
      </c>
      <c r="L8" s="7">
        <v>245</v>
      </c>
      <c r="M8" s="7"/>
      <c r="N8" s="7"/>
      <c r="O8" s="7"/>
      <c r="P8" s="7">
        <v>189</v>
      </c>
      <c r="Q8" s="7">
        <v>145</v>
      </c>
      <c r="R8" s="7">
        <v>138</v>
      </c>
      <c r="S8" s="7"/>
      <c r="T8" s="7"/>
      <c r="U8" s="7"/>
      <c r="V8" s="7"/>
      <c r="W8" s="7"/>
      <c r="X8" s="7"/>
      <c r="Y8" s="7"/>
      <c r="Z8" s="7"/>
      <c r="AA8" s="3"/>
    </row>
    <row r="9" spans="1:27" x14ac:dyDescent="0.2">
      <c r="A9" s="12"/>
      <c r="C9" s="13"/>
      <c r="D9" s="14"/>
      <c r="E9" s="13"/>
      <c r="F9" s="15"/>
      <c r="G9" s="15"/>
      <c r="H9" s="13"/>
    </row>
    <row r="10" spans="1:27" x14ac:dyDescent="0.2">
      <c r="A10" s="12"/>
      <c r="C10" s="13"/>
      <c r="D10" s="14"/>
      <c r="E10" s="13"/>
      <c r="F10" s="15"/>
      <c r="G10" s="13"/>
      <c r="H10" s="13"/>
    </row>
    <row r="11" spans="1:27" x14ac:dyDescent="0.2">
      <c r="A11" s="12"/>
      <c r="C11" s="13"/>
      <c r="D11" s="14"/>
      <c r="E11" s="13"/>
      <c r="F11" s="15"/>
      <c r="G11" s="13"/>
      <c r="H11" s="13"/>
    </row>
    <row r="12" spans="1:27" x14ac:dyDescent="0.2">
      <c r="A12" s="12"/>
      <c r="C12" s="13"/>
      <c r="D12" s="14"/>
      <c r="E12" s="13"/>
      <c r="F12" s="15"/>
      <c r="G12" s="15"/>
      <c r="H12" s="13"/>
    </row>
    <row r="13" spans="1:27" x14ac:dyDescent="0.2">
      <c r="A13" s="12"/>
      <c r="C13" s="13"/>
      <c r="D13" s="14"/>
      <c r="E13" s="13"/>
      <c r="F13" s="15"/>
      <c r="G13" s="13"/>
      <c r="H13" s="13"/>
    </row>
    <row r="14" spans="1:27" x14ac:dyDescent="0.2">
      <c r="A14" s="12"/>
      <c r="C14" s="13"/>
      <c r="D14" s="14"/>
      <c r="E14" s="13"/>
      <c r="F14" s="15"/>
      <c r="G14" s="13"/>
      <c r="H14" s="13"/>
    </row>
    <row r="15" spans="1:27" x14ac:dyDescent="0.2">
      <c r="A15" s="12"/>
      <c r="C15" s="13"/>
      <c r="D15" s="14"/>
      <c r="E15" s="13"/>
      <c r="F15" s="15"/>
      <c r="G15" s="13"/>
      <c r="H15" s="13"/>
    </row>
    <row r="16" spans="1:27" x14ac:dyDescent="0.2">
      <c r="A16" s="12"/>
      <c r="C16" s="13"/>
      <c r="D16" s="14"/>
      <c r="E16" s="13"/>
      <c r="F16" s="15"/>
      <c r="G16" s="13"/>
      <c r="H16" s="13"/>
    </row>
    <row r="17" spans="1:8" x14ac:dyDescent="0.2">
      <c r="A17" s="12"/>
      <c r="C17" s="13"/>
      <c r="D17" s="14"/>
      <c r="E17" s="13"/>
      <c r="F17" s="15"/>
      <c r="G17" s="15"/>
      <c r="H17" s="13"/>
    </row>
    <row r="18" spans="1:8" x14ac:dyDescent="0.2">
      <c r="A18" s="12"/>
      <c r="C18" s="13"/>
      <c r="D18" s="14"/>
      <c r="E18" s="13"/>
      <c r="F18" s="15"/>
      <c r="G18" s="13"/>
      <c r="H18" s="13"/>
    </row>
    <row r="19" spans="1:8" x14ac:dyDescent="0.2">
      <c r="A19" s="12"/>
      <c r="C19" s="13"/>
      <c r="D19" s="14"/>
      <c r="E19" s="13"/>
      <c r="F19" s="15"/>
      <c r="G19" s="13"/>
      <c r="H19" s="13"/>
    </row>
    <row r="20" spans="1:8" x14ac:dyDescent="0.2">
      <c r="A20" s="12"/>
      <c r="C20" s="16"/>
      <c r="D20" s="16"/>
      <c r="E20" s="13"/>
      <c r="F20" s="15"/>
      <c r="G20" s="13"/>
      <c r="H20" s="13"/>
    </row>
    <row r="21" spans="1:8" x14ac:dyDescent="0.2">
      <c r="A21" s="12"/>
      <c r="C21" s="13"/>
      <c r="D21" s="14"/>
      <c r="E21" s="13"/>
      <c r="F21" s="15"/>
      <c r="G21" s="13"/>
      <c r="H21" s="13"/>
    </row>
    <row r="22" spans="1:8" x14ac:dyDescent="0.2">
      <c r="A22" s="12"/>
      <c r="C22" s="13"/>
      <c r="D22" s="14"/>
      <c r="E22" s="13"/>
      <c r="F22" s="15"/>
      <c r="G22" s="13"/>
      <c r="H22" s="13"/>
    </row>
    <row r="23" spans="1:8" x14ac:dyDescent="0.2">
      <c r="A23" s="12"/>
      <c r="C23" s="13"/>
      <c r="D23" s="14"/>
      <c r="E23" s="13"/>
      <c r="F23" s="15"/>
      <c r="G23" s="13"/>
      <c r="H23" s="13"/>
    </row>
    <row r="24" spans="1:8" x14ac:dyDescent="0.2">
      <c r="A24" s="12"/>
      <c r="C24" s="17"/>
      <c r="D24" s="14"/>
      <c r="E24" s="13"/>
      <c r="F24" s="15"/>
      <c r="G24" s="13"/>
      <c r="H24" s="13"/>
    </row>
    <row r="25" spans="1:8" x14ac:dyDescent="0.2">
      <c r="A25" s="12"/>
      <c r="C25" s="13"/>
      <c r="D25" s="14"/>
      <c r="E25" s="13"/>
      <c r="F25" s="15"/>
      <c r="G25" s="13"/>
      <c r="H25" s="13"/>
    </row>
    <row r="26" spans="1:8" x14ac:dyDescent="0.2">
      <c r="A26" s="13"/>
      <c r="C26" s="16"/>
      <c r="D26" s="16"/>
      <c r="E26" s="13"/>
      <c r="F26" s="15"/>
      <c r="G26" s="13"/>
      <c r="H2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2026-08-14T14:20:03Z</dcterms:created>
  <dcterms:modified xsi:type="dcterms:W3CDTF">2026-08-25T16:12:51Z</dcterms:modified>
</cp:coreProperties>
</file>